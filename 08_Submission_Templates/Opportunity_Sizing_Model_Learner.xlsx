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03aad6fb0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portunity Model" sheetId="1" r:id="R47b827fe09024915"/>
    <x:sheet xmlns:r="http://schemas.openxmlformats.org/officeDocument/2006/relationships" name="Instructions" sheetId="2" r:id="R7440287d06d244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"/>
    <x:numFmt numFmtId="201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DCEAF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2" fillId="3" borderId="0" xfId="0" applyNumberFormat="1" applyFont="1" applyFill="1" applyBorder="1"/>
    <x:xf numFmtId="20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4d25924fdb4584" /><Relationship Type="http://schemas.openxmlformats.org/officeDocument/2006/relationships/theme" Target="/xl/theme/theme1.xml" Id="R206626ad76ac4324" /><Relationship Type="http://schemas.openxmlformats.org/officeDocument/2006/relationships/sharedStrings" Target="/xl/sharedStrings.xml" Id="Rfd5f36fdaead42d7" /><Relationship Type="http://schemas.openxmlformats.org/officeDocument/2006/relationships/worksheet" Target="/xl/worksheets/sheet1.xml" Id="R47b827fe09024915" /><Relationship Type="http://schemas.openxmlformats.org/officeDocument/2006/relationships/worksheet" Target="/xl/worksheets/sheet2.xml" Id="R7440287d06d244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Initiative</x:v>
      </x:c>
      <x:c r="B1" s="5" t="str">
        <x:v>Addressable Pool £</x:v>
      </x:c>
      <x:c r="C1" s="5" t="str">
        <x:v>Low Capture</x:v>
      </x:c>
      <x:c r="D1" s="5" t="str">
        <x:v>Base Capture</x:v>
      </x:c>
      <x:c r="E1" s="5" t="str">
        <x:v>High Capture</x:v>
      </x:c>
      <x:c r="F1" s="5" t="str">
        <x:v>Low Impact £</x:v>
      </x:c>
      <x:c r="G1" s="5" t="str">
        <x:v>Base Impact £</x:v>
      </x:c>
      <x:c r="H1" s="5" t="str">
        <x:v>High Impact £</x:v>
      </x:c>
    </x:row>
    <x:row r="2">
      <x:c r="A2" t="str">
        <x:v>Retention rescue</x:v>
      </x:c>
      <x:c r="B2" s="14" t="n">
        <x:v>47125662.6</x:v>
      </x:c>
      <x:c r="C2" s="16"/>
      <x:c r="D2" s="16"/>
      <x:c r="E2" s="16"/>
      <x:c r="F2" s="14" t="n">
        <x:f>B2*C2</x:f>
        <x:v>0</x:v>
      </x:c>
      <x:c r="G2" s="14" t="n">
        <x:f>B2*D2</x:f>
        <x:v>0</x:v>
      </x:c>
      <x:c r="H2" s="14" t="n">
        <x:f>B2*E2</x:f>
        <x:v>0</x:v>
      </x:c>
    </x:row>
    <x:row r="3">
      <x:c r="A3" t="str">
        <x:v>Pricing recovery</x:v>
      </x:c>
      <x:c r="B3" s="14" t="n">
        <x:v>20895381.59</x:v>
      </x:c>
      <x:c r="C3" s="16"/>
      <x:c r="D3" s="16"/>
      <x:c r="E3" s="16"/>
      <x:c r="F3" s="14" t="n">
        <x:f>B3*C3</x:f>
        <x:v>0</x:v>
      </x:c>
      <x:c r="G3" s="14" t="n">
        <x:f>B3*D3</x:f>
        <x:v>0</x:v>
      </x:c>
      <x:c r="H3" s="14" t="n">
        <x:f>B3*E3</x:f>
        <x:v>0</x:v>
      </x:c>
    </x:row>
    <x:row r="4">
      <x:c r="A4" t="str">
        <x:v>Expansion program</x:v>
      </x:c>
      <x:c r="B4" s="14" t="n">
        <x:v>166891116.36</x:v>
      </x:c>
      <x:c r="C4" s="16"/>
      <x:c r="D4" s="16"/>
      <x:c r="E4" s="16"/>
      <x:c r="F4" s="14" t="n">
        <x:f>B4*C4</x:f>
        <x:v>0</x:v>
      </x:c>
      <x:c r="G4" s="14" t="n">
        <x:f>B4*D4</x:f>
        <x:v>0</x:v>
      </x:c>
      <x:c r="H4" s="14" t="n">
        <x:f>B4*E4</x:f>
        <x:v>0</x:v>
      </x:c>
    </x:row>
    <x:row r="5">
      <x:c r="F5" s="14"/>
      <x:c r="G5" s="14"/>
      <x:c r="H5" s="14"/>
    </x:row>
    <x:row r="6">
      <x:c r="A6" s="11" t="str">
        <x:v>TOTAL</x:v>
      </x:c>
      <x:c r="B6" s="11" t="str"/>
      <x:c r="C6" s="11" t="str"/>
      <x:c r="D6" s="11" t="str"/>
      <x:c r="E6" s="11" t="str"/>
      <x:c r="F6" s="18" t="n">
        <x:f>SUM(F2:F4)</x:f>
        <x:v>0</x:v>
      </x:c>
      <x:c r="G6" s="18" t="n">
        <x:f>SUM(G2:G4)</x:f>
        <x:v>0</x:v>
      </x:c>
      <x:c r="H6" s="18" t="n">
        <x:f>SUM(H2:H4)</x:f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4" hidden="0" customWidth="1"/>
  </x:cols>
  <x:sheetData>
    <x:row r="1">
      <x:c r="A1" s="5" t="str">
        <x:v>Concept</x:v>
      </x:c>
      <x:c r="B1" s="5" t="str">
        <x:v>Guidance</x:v>
      </x:c>
    </x:row>
    <x:row r="2">
      <x:c r="A2" s="20" t="str">
        <x:v>Addressable Pool</x:v>
      </x:c>
      <x:c r="B2" s="20" t="str">
        <x:v>Maximum value theoretically exposed to the initiative. It is not a forecast.</x:v>
      </x:c>
    </x:row>
    <x:row r="3">
      <x:c r="A3" s="20" t="str">
        <x:v>Capture Rate</x:v>
      </x:c>
      <x:c r="B3" s="20" t="str">
        <x:v>The proportion of the pool expected to be realized under the scenario.</x:v>
      </x:c>
    </x:row>
    <x:row r="4">
      <x:c r="A4" s="20" t="str">
        <x:v>Low/Base/High</x:v>
      </x:c>
      <x:c r="B4" s="20" t="str">
        <x:v>Use evidence and operational feasibility to justify assumptions.</x:v>
      </x:c>
    </x:row>
    <x:row r="5">
      <x:c r="A5" s="20" t="str">
        <x:v>Retention Rescue</x:v>
      </x:c>
      <x:c r="B5" s="20" t="str">
        <x:v>Financial impact = ARR at risk × preventable share.</x:v>
      </x:c>
    </x:row>
    <x:row r="6">
      <x:c r="A6" s="20" t="str">
        <x:v>Pricing Recovery</x:v>
      </x:c>
      <x:c r="B6" s="20" t="str">
        <x:v>Financial impact = leakage × recoverable share.</x:v>
      </x:c>
    </x:row>
    <x:row r="7">
      <x:c r="A7" s="20" t="str">
        <x:v>Expansion Program</x:v>
      </x:c>
      <x:c r="B7" s="20" t="str">
        <x:v>Financial impact = eligible ARR pool × incremental expansion rate.</x:v>
      </x:c>
    </x:row>
  </x:sheetData>
  <x:pageMargins left="0.7" right="0.7" top="0.75" bottom="0.75" header="0.3" footer="0.3"/>
</x:worksheet>
</file>